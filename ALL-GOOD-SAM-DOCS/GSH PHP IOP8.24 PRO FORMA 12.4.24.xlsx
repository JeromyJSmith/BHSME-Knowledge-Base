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C:\Users\ghalbrook\Desktop\DESKTOP WORKING\NOVEMBER 2024\BCHIP\"/>
    </mc:Choice>
  </mc:AlternateContent>
  <xr:revisionPtr revIDLastSave="0" documentId="8_{6F5276A6-21CD-45F5-996E-1B6A4A0E0259}" xr6:coauthVersionLast="36" xr6:coauthVersionMax="36" xr10:uidLastSave="{00000000-0000-0000-0000-000000000000}"/>
  <bookViews>
    <workbookView xWindow="0" yWindow="0" windowWidth="43200" windowHeight="20070" xr2:uid="{406FF6FE-6357-4B0B-B819-AFE38E8CDF49}"/>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2" i="1" l="1"/>
  <c r="F32" i="1" s="1"/>
  <c r="G32" i="1" s="1"/>
  <c r="E31" i="1"/>
  <c r="F31" i="1" s="1"/>
  <c r="G31" i="1" s="1"/>
  <c r="E30" i="1"/>
  <c r="F30" i="1" s="1"/>
  <c r="G30" i="1" s="1"/>
  <c r="E29" i="1"/>
  <c r="F29" i="1" s="1"/>
  <c r="G29" i="1" s="1"/>
  <c r="E28" i="1"/>
  <c r="F28" i="1" s="1"/>
  <c r="G28" i="1" s="1"/>
  <c r="E27" i="1"/>
  <c r="F27" i="1" s="1"/>
  <c r="G27" i="1" s="1"/>
  <c r="E26" i="1"/>
  <c r="F26" i="1" s="1"/>
  <c r="G26" i="1" s="1"/>
  <c r="E25" i="1"/>
  <c r="F25" i="1" s="1"/>
  <c r="G25" i="1" s="1"/>
  <c r="E24" i="1"/>
  <c r="F24" i="1" s="1"/>
  <c r="G24" i="1" s="1"/>
  <c r="E23" i="1"/>
  <c r="F23" i="1" s="1"/>
  <c r="G23" i="1" s="1"/>
  <c r="E22" i="1"/>
  <c r="F22" i="1" s="1"/>
  <c r="G22" i="1" s="1"/>
  <c r="E21" i="1"/>
  <c r="F21" i="1" s="1"/>
  <c r="G21" i="1" s="1"/>
  <c r="C33" i="1"/>
  <c r="E20" i="1"/>
  <c r="F20" i="1" s="1"/>
  <c r="G20" i="1" s="1"/>
  <c r="E19" i="1"/>
  <c r="F19" i="1" s="1"/>
  <c r="G19" i="1" s="1"/>
  <c r="E18" i="1"/>
  <c r="F18" i="1" s="1"/>
  <c r="G18" i="1" s="1"/>
  <c r="E17" i="1"/>
  <c r="F17" i="1" s="1"/>
  <c r="G17" i="1" s="1"/>
  <c r="E16" i="1"/>
  <c r="F16" i="1" s="1"/>
  <c r="G16" i="1" s="1"/>
  <c r="D33" i="1"/>
  <c r="E14" i="1"/>
  <c r="F14" i="1" s="1"/>
  <c r="D11" i="1"/>
  <c r="E11" i="1" s="1"/>
  <c r="F11" i="1" s="1"/>
  <c r="G11" i="1" s="1"/>
  <c r="D10" i="1"/>
  <c r="E10" i="1" s="1"/>
  <c r="F10" i="1" s="1"/>
  <c r="G10" i="1" s="1"/>
  <c r="D9" i="1"/>
  <c r="E9" i="1" s="1"/>
  <c r="F9" i="1" s="1"/>
  <c r="G9" i="1" s="1"/>
  <c r="D8" i="1"/>
  <c r="E8" i="1" s="1"/>
  <c r="F8" i="1" s="1"/>
  <c r="G8" i="1" s="1"/>
  <c r="D7" i="1"/>
  <c r="E7" i="1" s="1"/>
  <c r="F7" i="1" s="1"/>
  <c r="G7" i="1" s="1"/>
  <c r="E6" i="1"/>
  <c r="C12" i="1"/>
  <c r="C34" i="1" s="1"/>
  <c r="F6" i="1" l="1"/>
  <c r="E12" i="1"/>
  <c r="G14" i="1"/>
  <c r="E15" i="1"/>
  <c r="F15" i="1" s="1"/>
  <c r="G15" i="1" s="1"/>
  <c r="D12" i="1"/>
  <c r="D34" i="1" s="1"/>
  <c r="G33" i="1" l="1"/>
  <c r="E33" i="1"/>
  <c r="E34" i="1" s="1"/>
  <c r="F33" i="1"/>
  <c r="G6" i="1"/>
  <c r="G12" i="1" s="1"/>
  <c r="G34" i="1" s="1"/>
  <c r="F12" i="1"/>
  <c r="F34" i="1" l="1"/>
</calcChain>
</file>

<file path=xl/sharedStrings.xml><?xml version="1.0" encoding="utf-8"?>
<sst xmlns="http://schemas.openxmlformats.org/spreadsheetml/2006/main" count="50" uniqueCount="46">
  <si>
    <t>Instructions</t>
  </si>
  <si>
    <t>Please complete the table with professional estimates and projections for your facility's annual revenue (income) and annual expenses, in order to show annual net operating income.</t>
  </si>
  <si>
    <t>Bond BHCIP Round 1 Form 9: Facility Financial Operating Pro Forma (Template)</t>
  </si>
  <si>
    <t xml:space="preserve">APPLICANT ENTITY NAME: </t>
  </si>
  <si>
    <t>GSH PHP IOP</t>
  </si>
  <si>
    <t>% annual growth</t>
  </si>
  <si>
    <t>Any amounts placed in the green boxes will be multiplied each year by the annual growth percentage, which you can change. Type in the orange boxes to overwrite the amounts in those boxes, as needed.</t>
  </si>
  <si>
    <t>REVENUE</t>
  </si>
  <si>
    <t>1.02</t>
  </si>
  <si>
    <t>Year 1</t>
  </si>
  <si>
    <t>Year 2</t>
  </si>
  <si>
    <t>Year 3</t>
  </si>
  <si>
    <t>Year 4</t>
  </si>
  <si>
    <t xml:space="preserve">Year 5 </t>
  </si>
  <si>
    <t>Net Patient Service Revenue</t>
  </si>
  <si>
    <t>Total Operating Grants and Contracts</t>
  </si>
  <si>
    <t>Contributions/Fundraising Income</t>
  </si>
  <si>
    <t>Donated Goods and Services</t>
  </si>
  <si>
    <t>Net Assets Released from Restriction</t>
  </si>
  <si>
    <t>Other Operating Revenue</t>
  </si>
  <si>
    <t>Total Operating Revenue</t>
  </si>
  <si>
    <t>EXPENSES</t>
  </si>
  <si>
    <t>1.03</t>
  </si>
  <si>
    <t>Year 5</t>
  </si>
  <si>
    <t>Salaries and Related Expenses</t>
  </si>
  <si>
    <t>Benefits</t>
  </si>
  <si>
    <t xml:space="preserve">Payroll Taxes </t>
  </si>
  <si>
    <t xml:space="preserve">Rent </t>
  </si>
  <si>
    <t>Debt Service/Mortgage Payments</t>
  </si>
  <si>
    <t>Professional Contracted/Consultant Fees</t>
  </si>
  <si>
    <t>Supplies</t>
  </si>
  <si>
    <t>Insurance</t>
  </si>
  <si>
    <t>Travel and Training</t>
  </si>
  <si>
    <t>Licensing and Permits</t>
  </si>
  <si>
    <t>General Administration</t>
  </si>
  <si>
    <t>Facility Operation and Maintenance</t>
  </si>
  <si>
    <t>Printing/Postage</t>
  </si>
  <si>
    <t>Property Taxes/Local Fees</t>
  </si>
  <si>
    <t>Technology (Computers and Other Equipment)</t>
  </si>
  <si>
    <t>Telephone/Internet</t>
  </si>
  <si>
    <t>Utilities</t>
  </si>
  <si>
    <t>Other (Specify)  Administration HR/Acct?IT/Marketing</t>
  </si>
  <si>
    <t>Other (Specify) LUNCH DAILY</t>
  </si>
  <si>
    <t xml:space="preserve">TOTAL OPERATING EXPENSES </t>
  </si>
  <si>
    <t>Net Operating Income</t>
  </si>
  <si>
    <t>sab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</si>
</sst>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6" formatCode="&quot;$&quot;#,##0_);[Red]\(&quot;$&quot;#,##0\)"/>
    <numFmt numFmtId="164" formatCode="&quot;$&quot;#,##0"/>
  </numFmts>
  <fonts count="13" x14ac:knownFonts="1">
    <font>
      <sz val="11"/>
      <color theme="1"/>
      <name val="Calibri"/>
      <family val="2"/>
      <scheme val="minor"/>
    </font>
    <font>
      <b/>
      <i/>
      <sz val="10"/>
      <color theme="1"/>
      <name val="Arial"/>
      <family val="2"/>
    </font>
    <font>
      <sz val="10"/>
      <color theme="1"/>
      <name val="Arial"/>
      <family val="2"/>
    </font>
    <font>
      <b/>
      <sz val="14"/>
      <color indexed="8"/>
      <name val="Arial"/>
      <family val="2"/>
    </font>
    <font>
      <b/>
      <sz val="12"/>
      <color rgb="FF000000"/>
      <name val="Arial"/>
      <family val="2"/>
    </font>
    <font>
      <b/>
      <sz val="14"/>
      <color rgb="FFFF0000"/>
      <name val="Arial"/>
      <family val="2"/>
    </font>
    <font>
      <sz val="8"/>
      <color indexed="8"/>
      <name val="Arial"/>
      <family val="2"/>
    </font>
    <font>
      <sz val="9"/>
      <color indexed="8"/>
      <name val="Arial"/>
      <family val="2"/>
    </font>
    <font>
      <b/>
      <sz val="10"/>
      <color indexed="8"/>
      <name val="Arial"/>
      <family val="2"/>
    </font>
    <font>
      <sz val="10"/>
      <color indexed="8"/>
      <name val="Arial"/>
      <family val="2"/>
    </font>
    <font>
      <b/>
      <sz val="10"/>
      <color theme="1"/>
      <name val="Arial"/>
      <family val="2"/>
    </font>
    <font>
      <i/>
      <sz val="10"/>
      <color indexed="8"/>
      <name val="Arial"/>
      <family val="2"/>
    </font>
    <font>
      <b/>
      <sz val="12"/>
      <color theme="1"/>
      <name val="Arial"/>
      <family val="2"/>
    </font>
  </fonts>
  <fills count="9">
    <fill>
      <patternFill patternType="none"/>
    </fill>
    <fill>
      <patternFill patternType="gray125"/>
    </fill>
    <fill>
      <patternFill patternType="solid">
        <fgColor theme="2"/>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rgb="FFE9F0C6"/>
        <bgColor indexed="64"/>
      </patternFill>
    </fill>
    <fill>
      <patternFill patternType="solid">
        <fgColor theme="7" tint="0.59999389629810485"/>
        <bgColor indexed="64"/>
      </patternFill>
    </fill>
    <fill>
      <patternFill patternType="solid">
        <fgColor theme="0"/>
        <bgColor indexed="64"/>
      </patternFill>
    </fill>
    <fill>
      <patternFill patternType="solid">
        <fgColor theme="2" tint="-9.9978637043366805E-2"/>
        <bgColor indexed="64"/>
      </patternFill>
    </fill>
  </fills>
  <borders count="22">
    <border>
      <left/>
      <right/>
      <top/>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ck">
        <color indexed="64"/>
      </top>
      <bottom style="double">
        <color indexed="64"/>
      </bottom>
      <diagonal/>
    </border>
    <border>
      <left style="medium">
        <color indexed="64"/>
      </left>
      <right style="thin">
        <color indexed="64"/>
      </right>
      <top/>
      <bottom/>
      <diagonal/>
    </border>
  </borders>
  <cellStyleXfs count="1">
    <xf numFmtId="0" fontId="0" fillId="0" borderId="0"/>
  </cellStyleXfs>
  <cellXfs count="51">
    <xf numFmtId="0" fontId="0" fillId="0" borderId="0" xfId="0"/>
    <xf numFmtId="0" fontId="1" fillId="2" borderId="0" xfId="0" applyFont="1" applyFill="1" applyAlignment="1">
      <alignment horizontal="center" vertical="center" wrapText="1"/>
    </xf>
    <xf numFmtId="0" fontId="1" fillId="2" borderId="0" xfId="0" applyFont="1" applyFill="1" applyAlignment="1">
      <alignment vertical="center"/>
    </xf>
    <xf numFmtId="0" fontId="1" fillId="2" borderId="0" xfId="0" applyFont="1" applyFill="1" applyAlignment="1">
      <alignment vertical="top" wrapText="1"/>
    </xf>
    <xf numFmtId="0" fontId="2" fillId="0" borderId="0" xfId="0" applyFont="1" applyAlignment="1">
      <alignment vertical="top"/>
    </xf>
    <xf numFmtId="0" fontId="2" fillId="3" borderId="1" xfId="0" applyFont="1" applyFill="1" applyBorder="1" applyAlignment="1">
      <alignment vertical="top"/>
    </xf>
    <xf numFmtId="0" fontId="3" fillId="3" borderId="1" xfId="0" applyFont="1" applyFill="1" applyBorder="1" applyAlignment="1">
      <alignment vertical="center"/>
    </xf>
    <xf numFmtId="0" fontId="3" fillId="3" borderId="2" xfId="0" applyFont="1" applyFill="1" applyBorder="1" applyAlignment="1">
      <alignment vertical="center"/>
    </xf>
    <xf numFmtId="0" fontId="4" fillId="3" borderId="3" xfId="0" applyFont="1" applyFill="1" applyBorder="1" applyAlignment="1">
      <alignment vertical="center"/>
    </xf>
    <xf numFmtId="0" fontId="4" fillId="3" borderId="4" xfId="0" applyFont="1" applyFill="1" applyBorder="1" applyAlignment="1">
      <alignment vertical="center"/>
    </xf>
    <xf numFmtId="0" fontId="4" fillId="3" borderId="5" xfId="0" applyFont="1" applyFill="1" applyBorder="1" applyAlignment="1">
      <alignment vertical="center"/>
    </xf>
    <xf numFmtId="0" fontId="5" fillId="0" borderId="6" xfId="0" applyFont="1" applyBorder="1" applyAlignment="1">
      <alignment vertical="top"/>
    </xf>
    <xf numFmtId="0" fontId="6" fillId="0" borderId="0" xfId="0" applyFont="1" applyAlignment="1">
      <alignment horizontal="center" wrapText="1"/>
    </xf>
    <xf numFmtId="38" fontId="7" fillId="0" borderId="7" xfId="0" applyNumberFormat="1" applyFont="1" applyBorder="1" applyAlignment="1">
      <alignment vertical="center"/>
    </xf>
    <xf numFmtId="38" fontId="7" fillId="0" borderId="8" xfId="0" applyNumberFormat="1" applyFont="1" applyBorder="1" applyAlignment="1">
      <alignment vertical="center"/>
    </xf>
    <xf numFmtId="0" fontId="8" fillId="4" borderId="9" xfId="0" applyFont="1" applyFill="1" applyBorder="1" applyAlignment="1">
      <alignment vertical="top"/>
    </xf>
    <xf numFmtId="0" fontId="9" fillId="5" borderId="10" xfId="0" applyFont="1" applyFill="1" applyBorder="1" applyAlignment="1">
      <alignment horizontal="center" vertical="top"/>
    </xf>
    <xf numFmtId="38" fontId="8" fillId="4" borderId="10" xfId="0" applyNumberFormat="1" applyFont="1" applyFill="1" applyBorder="1" applyAlignment="1">
      <alignment horizontal="center" vertical="top"/>
    </xf>
    <xf numFmtId="0" fontId="10" fillId="4" borderId="10" xfId="0" applyFont="1" applyFill="1" applyBorder="1" applyAlignment="1">
      <alignment horizontal="center" vertical="top"/>
    </xf>
    <xf numFmtId="0" fontId="10" fillId="4" borderId="11" xfId="0" applyFont="1" applyFill="1" applyBorder="1" applyAlignment="1">
      <alignment horizontal="center" vertical="top"/>
    </xf>
    <xf numFmtId="0" fontId="9" fillId="0" borderId="12" xfId="0" applyFont="1" applyBorder="1" applyAlignment="1">
      <alignment vertical="top"/>
    </xf>
    <xf numFmtId="0" fontId="9" fillId="0" borderId="13" xfId="0" applyFont="1" applyBorder="1" applyAlignment="1">
      <alignment horizontal="center" vertical="top"/>
    </xf>
    <xf numFmtId="164" fontId="9" fillId="5" borderId="13" xfId="0" applyNumberFormat="1" applyFont="1" applyFill="1" applyBorder="1" applyAlignment="1">
      <alignment vertical="top"/>
    </xf>
    <xf numFmtId="164" fontId="9" fillId="6" borderId="13" xfId="0" applyNumberFormat="1" applyFont="1" applyFill="1" applyBorder="1" applyAlignment="1">
      <alignment vertical="top"/>
    </xf>
    <xf numFmtId="0" fontId="11" fillId="7" borderId="12" xfId="0" applyFont="1" applyFill="1" applyBorder="1" applyAlignment="1">
      <alignment vertical="top"/>
    </xf>
    <xf numFmtId="164" fontId="9" fillId="5" borderId="14" xfId="0" applyNumberFormat="1" applyFont="1" applyFill="1" applyBorder="1" applyAlignment="1">
      <alignment horizontal="right" vertical="top"/>
    </xf>
    <xf numFmtId="164" fontId="9" fillId="6" borderId="14" xfId="0" applyNumberFormat="1" applyFont="1" applyFill="1" applyBorder="1" applyAlignment="1">
      <alignment vertical="top"/>
    </xf>
    <xf numFmtId="164" fontId="8" fillId="2" borderId="15" xfId="0" applyNumberFormat="1" applyFont="1" applyFill="1" applyBorder="1" applyAlignment="1">
      <alignment vertical="top"/>
    </xf>
    <xf numFmtId="164" fontId="8" fillId="2" borderId="16" xfId="0" applyNumberFormat="1" applyFont="1" applyFill="1" applyBorder="1" applyAlignment="1">
      <alignment vertical="top"/>
    </xf>
    <xf numFmtId="0" fontId="8" fillId="8" borderId="9" xfId="0" applyFont="1" applyFill="1" applyBorder="1" applyAlignment="1">
      <alignment vertical="top"/>
    </xf>
    <xf numFmtId="38" fontId="8" fillId="8" borderId="10" xfId="0" applyNumberFormat="1" applyFont="1" applyFill="1" applyBorder="1" applyAlignment="1">
      <alignment horizontal="center" vertical="top"/>
    </xf>
    <xf numFmtId="0" fontId="8" fillId="8" borderId="10" xfId="0" applyFont="1" applyFill="1" applyBorder="1" applyAlignment="1">
      <alignment horizontal="center" vertical="top"/>
    </xf>
    <xf numFmtId="0" fontId="2" fillId="0" borderId="12" xfId="0" applyFont="1" applyBorder="1" applyAlignment="1">
      <alignment horizontal="left" vertical="top"/>
    </xf>
    <xf numFmtId="164" fontId="9" fillId="6" borderId="17" xfId="0" applyNumberFormat="1" applyFont="1" applyFill="1" applyBorder="1" applyAlignment="1">
      <alignment vertical="top"/>
    </xf>
    <xf numFmtId="0" fontId="2" fillId="0" borderId="12" xfId="0" applyFont="1" applyBorder="1" applyAlignment="1">
      <alignment vertical="top"/>
    </xf>
    <xf numFmtId="9" fontId="9" fillId="0" borderId="13" xfId="0" applyNumberFormat="1" applyFont="1" applyBorder="1" applyAlignment="1">
      <alignment horizontal="center" vertical="top"/>
    </xf>
    <xf numFmtId="0" fontId="2" fillId="0" borderId="13" xfId="0" applyFont="1" applyBorder="1" applyAlignment="1">
      <alignment horizontal="center" vertical="top"/>
    </xf>
    <xf numFmtId="0" fontId="2" fillId="5" borderId="12" xfId="0" applyFont="1" applyFill="1" applyBorder="1" applyAlignment="1">
      <alignment vertical="top"/>
    </xf>
    <xf numFmtId="164" fontId="9" fillId="6" borderId="18" xfId="0" applyNumberFormat="1" applyFont="1" applyFill="1" applyBorder="1" applyAlignment="1">
      <alignment vertical="top"/>
    </xf>
    <xf numFmtId="164" fontId="8" fillId="2" borderId="19" xfId="0" applyNumberFormat="1" applyFont="1" applyFill="1" applyBorder="1" applyAlignment="1">
      <alignment vertical="center"/>
    </xf>
    <xf numFmtId="164" fontId="8" fillId="2" borderId="20" xfId="0" applyNumberFormat="1" applyFont="1" applyFill="1" applyBorder="1" applyAlignment="1">
      <alignment vertical="center"/>
    </xf>
    <xf numFmtId="0" fontId="2" fillId="0" borderId="0" xfId="0" applyFont="1" applyAlignment="1">
      <alignment vertical="center"/>
    </xf>
    <xf numFmtId="0" fontId="12" fillId="2" borderId="21" xfId="0" applyFont="1" applyFill="1" applyBorder="1" applyAlignment="1">
      <alignment vertical="center"/>
    </xf>
    <xf numFmtId="0" fontId="9" fillId="2" borderId="14" xfId="0" applyFont="1" applyFill="1" applyBorder="1" applyAlignment="1">
      <alignment horizontal="center" vertical="top"/>
    </xf>
    <xf numFmtId="164" fontId="9" fillId="5" borderId="14" xfId="0" applyNumberFormat="1" applyFont="1" applyFill="1" applyBorder="1" applyAlignment="1">
      <alignment vertical="top"/>
    </xf>
    <xf numFmtId="0" fontId="8" fillId="0" borderId="0" xfId="0" applyFont="1" applyAlignment="1">
      <alignment vertical="top"/>
    </xf>
    <xf numFmtId="0" fontId="9" fillId="0" borderId="0" xfId="0" applyFont="1" applyAlignment="1">
      <alignment horizontal="center" vertical="top"/>
    </xf>
    <xf numFmtId="38" fontId="9" fillId="0" borderId="0" xfId="0" applyNumberFormat="1" applyFont="1" applyAlignment="1">
      <alignment vertical="top"/>
    </xf>
    <xf numFmtId="0" fontId="8" fillId="0" borderId="0" xfId="0" applyFont="1" applyAlignment="1">
      <alignment horizontal="center" vertical="top"/>
    </xf>
    <xf numFmtId="0" fontId="2" fillId="0" borderId="0" xfId="0" applyFont="1" applyAlignment="1">
      <alignment horizontal="center" vertical="top"/>
    </xf>
    <xf numFmtId="6" fontId="2" fillId="0" borderId="0" xfId="0" applyNumberFormat="1" applyFont="1" applyAlignment="1">
      <alignment vertical="top"/>
    </xf>
  </cellXfs>
  <cellStyles count="1">
    <cellStyle name="Normal" xfId="0" builtinId="0"/>
  </cellStyles>
  <dxfs count="20">
    <dxf>
      <font>
        <b val="0"/>
        <i val="0"/>
        <strike val="0"/>
        <condense val="0"/>
        <extend val="0"/>
        <outline val="0"/>
        <shadow val="0"/>
        <u val="none"/>
        <vertAlign val="baseline"/>
        <sz val="10"/>
        <color indexed="8"/>
        <name val="Arial"/>
        <family val="2"/>
        <scheme val="none"/>
      </font>
      <numFmt numFmtId="164" formatCode="&quot;$&quot;#,##0"/>
      <fill>
        <patternFill patternType="solid">
          <fgColor indexed="64"/>
          <bgColor theme="7" tint="0.59999389629810485"/>
        </patternFill>
      </fill>
      <alignment horizontal="general" vertical="top" textRotation="0" wrapText="0" indent="0" justifyLastLine="0" shrinkToFit="0" readingOrder="0"/>
      <border diagonalUp="0" diagonalDown="0">
        <left style="thin">
          <color indexed="64"/>
        </left>
        <right style="medium">
          <color indexed="64"/>
        </right>
        <top style="thin">
          <color indexed="64"/>
        </top>
        <bottom/>
        <vertical/>
        <horizontal/>
      </border>
    </dxf>
    <dxf>
      <font>
        <b val="0"/>
        <i val="0"/>
        <strike val="0"/>
        <condense val="0"/>
        <extend val="0"/>
        <outline val="0"/>
        <shadow val="0"/>
        <u val="none"/>
        <vertAlign val="baseline"/>
        <sz val="10"/>
        <color indexed="8"/>
        <name val="Arial"/>
        <family val="2"/>
        <scheme val="none"/>
      </font>
      <numFmt numFmtId="164" formatCode="&quot;$&quot;#,##0"/>
      <fill>
        <patternFill patternType="solid">
          <fgColor indexed="64"/>
          <bgColor theme="7" tint="0.5999938962981048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indexed="8"/>
        <name val="Arial"/>
        <family val="2"/>
        <scheme val="none"/>
      </font>
      <numFmt numFmtId="164" formatCode="&quot;$&quot;#,##0"/>
      <fill>
        <patternFill patternType="solid">
          <fgColor indexed="64"/>
          <bgColor theme="7" tint="0.5999938962981048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indexed="8"/>
        <name val="Arial"/>
        <family val="2"/>
        <scheme val="none"/>
      </font>
      <numFmt numFmtId="164" formatCode="&quot;$&quot;#,##0"/>
      <fill>
        <patternFill patternType="solid">
          <fgColor indexed="64"/>
          <bgColor theme="7" tint="0.5999938962981048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indexed="8"/>
        <name val="Arial"/>
        <family val="2"/>
        <scheme val="none"/>
      </font>
      <numFmt numFmtId="164" formatCode="&quot;$&quot;#,##0"/>
      <fill>
        <patternFill patternType="solid">
          <fgColor indexed="64"/>
          <bgColor rgb="FFE9F0C6"/>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indexed="8"/>
        <name val="Arial"/>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rgb="FF000000"/>
        </bottom>
      </border>
    </dxf>
    <dxf>
      <border outline="0">
        <top style="thin">
          <color rgb="FF000000"/>
        </top>
      </border>
    </dxf>
    <dxf>
      <font>
        <b val="0"/>
        <i val="0"/>
        <strike val="0"/>
        <condense val="0"/>
        <extend val="0"/>
        <outline val="0"/>
        <shadow val="0"/>
        <u val="none"/>
        <vertAlign val="baseline"/>
        <sz val="10"/>
        <color rgb="FF000000"/>
        <name val="Arial"/>
        <family val="2"/>
        <scheme val="none"/>
      </font>
      <fill>
        <patternFill patternType="solid">
          <fgColor rgb="FF000000"/>
          <bgColor rgb="FFFFE699"/>
        </patternFill>
      </fill>
      <alignment horizontal="general" vertical="top" textRotation="0" wrapText="0" indent="0" justifyLastLine="0" shrinkToFit="0" readingOrder="0"/>
    </dxf>
    <dxf>
      <font>
        <b val="0"/>
        <i val="0"/>
        <strike val="0"/>
        <condense val="0"/>
        <extend val="0"/>
        <outline val="0"/>
        <shadow val="0"/>
        <u val="none"/>
        <vertAlign val="baseline"/>
        <sz val="10"/>
        <color indexed="8"/>
        <name val="Arial"/>
        <family val="2"/>
        <scheme val="none"/>
      </font>
      <numFmt numFmtId="164" formatCode="&quot;$&quot;#,##0"/>
      <fill>
        <patternFill patternType="solid">
          <fgColor indexed="64"/>
          <bgColor theme="7" tint="0.5999938962981048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indexed="8"/>
        <name val="Arial"/>
        <family val="2"/>
        <scheme val="none"/>
      </font>
      <numFmt numFmtId="164" formatCode="&quot;$&quot;#,##0"/>
      <fill>
        <patternFill patternType="solid">
          <fgColor indexed="64"/>
          <bgColor theme="7" tint="0.5999938962981048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indexed="8"/>
        <name val="Arial"/>
        <family val="2"/>
        <scheme val="none"/>
      </font>
      <numFmt numFmtId="164" formatCode="&quot;$&quot;#,##0"/>
      <fill>
        <patternFill patternType="solid">
          <fgColor indexed="64"/>
          <bgColor theme="7" tint="0.5999938962981048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indexed="8"/>
        <name val="Arial"/>
        <family val="2"/>
        <scheme val="none"/>
      </font>
      <numFmt numFmtId="164" formatCode="&quot;$&quot;#,##0"/>
      <fill>
        <patternFill patternType="solid">
          <fgColor indexed="64"/>
          <bgColor theme="7" tint="0.59999389629810485"/>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indexed="8"/>
        <name val="Arial"/>
        <family val="2"/>
        <scheme val="none"/>
      </font>
      <numFmt numFmtId="164" formatCode="&quot;$&quot;#,##0"/>
      <fill>
        <patternFill patternType="solid">
          <fgColor indexed="64"/>
          <bgColor rgb="FFE9F0C6"/>
        </patternFill>
      </fil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family val="2"/>
        <scheme val="none"/>
      </font>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Arial"/>
        <family val="2"/>
        <scheme val="none"/>
      </font>
      <alignment horizontal="general" vertical="top" textRotation="0" wrapText="0" indent="0" justifyLastLine="0" shrinkToFit="0" readingOrder="0"/>
      <border diagonalUp="0" diagonalDown="0">
        <left style="medium">
          <color indexed="64"/>
        </left>
        <right style="thin">
          <color indexed="64"/>
        </right>
        <top style="thin">
          <color indexed="64"/>
        </top>
        <bottom style="thin">
          <color indexed="64"/>
        </bottom>
        <vertical/>
        <horizontal/>
      </border>
    </dxf>
    <dxf>
      <border outline="0">
        <bottom style="thin">
          <color rgb="FF000000"/>
        </bottom>
      </border>
    </dxf>
    <dxf>
      <border outline="0">
        <top style="thin">
          <color rgb="FF000000"/>
        </top>
        <bottom style="medium">
          <color rgb="FF000000"/>
        </bottom>
      </border>
    </dxf>
    <dxf>
      <font>
        <b val="0"/>
        <i val="0"/>
        <strike val="0"/>
        <condense val="0"/>
        <extend val="0"/>
        <outline val="0"/>
        <shadow val="0"/>
        <u val="none"/>
        <vertAlign val="baseline"/>
        <sz val="10"/>
        <color rgb="FF000000"/>
        <name val="Arial"/>
        <family val="2"/>
        <scheme val="none"/>
      </font>
      <fill>
        <patternFill patternType="solid">
          <fgColor rgb="FF000000"/>
          <bgColor rgb="FFFFE699"/>
        </patternFill>
      </fill>
      <alignment horizontal="general" vertical="top" textRotation="0" wrapText="0" indent="0" justifyLastLine="0" shrinkToFit="0" readingOrder="0"/>
    </dxf>
    <dxf>
      <font>
        <b/>
        <i val="0"/>
        <strike val="0"/>
        <condense val="0"/>
        <extend val="0"/>
        <outline val="0"/>
        <shadow val="0"/>
        <u val="none"/>
        <vertAlign val="baseline"/>
        <sz val="10"/>
        <color indexed="8"/>
        <name val="Arial"/>
        <family val="2"/>
        <scheme val="none"/>
      </font>
      <numFmt numFmtId="6" formatCode="#,##0_);[Red]\(#,##0\)"/>
      <fill>
        <patternFill patternType="solid">
          <fgColor indexed="64"/>
          <bgColor theme="6" tint="0.59999389629810485"/>
        </patternFill>
      </fill>
      <alignment horizontal="center" vertical="top" textRotation="0" wrapText="0"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Table Style 1" pivot="0" count="0" xr9:uid="{E73B9F46-5D9C-41C3-A64C-6C576C40D5C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475962-D19D-4559-85B0-3648C4004D85}" name="Revenue12" displayName="Revenue12" ref="A5:G12" totalsRowShown="0" headerRowDxfId="19" dataDxfId="18" headerRowBorderDxfId="16" tableBorderDxfId="17">
  <autoFilter ref="A5:G12" xr:uid="{8672663A-2358-4A5C-80FB-EBA838E82D5C}"/>
  <tableColumns count="7">
    <tableColumn id="1" xr3:uid="{4568D565-11B6-4154-B234-24B1738A472F}" name="REVENUE" dataDxfId="15"/>
    <tableColumn id="2" xr3:uid="{86092C1D-4E82-4ADA-9D63-2AC0BF1EB054}" name="1.02" dataDxfId="14"/>
    <tableColumn id="3" xr3:uid="{D314F54E-0AE1-46A9-891A-7A1D8C5AF796}" name="Year 1" dataDxfId="13"/>
    <tableColumn id="4" xr3:uid="{548A6330-E033-4575-AED0-82EE53E91439}" name="Year 2" dataDxfId="12"/>
    <tableColumn id="5" xr3:uid="{4913691A-D59D-4C41-AE46-7CF87FD80FD7}" name="Year 3" dataDxfId="11"/>
    <tableColumn id="6" xr3:uid="{3EF403F5-24B5-45BA-8DBF-7641F6B3D1D7}" name="Year 4" dataDxfId="10"/>
    <tableColumn id="7" xr3:uid="{64A10C4B-A919-45D5-8F91-2F5A189A6153}" name="Year 5 " dataDxfId="9"/>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C0ABBD-AC51-4719-8E10-320B20EDBD5A}" name="Expenses13" displayName="Expenses13" ref="A13:G34" totalsRowShown="0" dataDxfId="8" headerRowBorderDxfId="6" tableBorderDxfId="7">
  <autoFilter ref="A13:G34" xr:uid="{58F768D5-391C-457D-9CE0-75FD1BE27082}"/>
  <tableColumns count="7">
    <tableColumn id="1" xr3:uid="{69C73228-9343-481E-AE9D-12CF7E5A174A}" name="EXPENSES"/>
    <tableColumn id="2" xr3:uid="{D2CF8AD5-200F-4512-8A76-AB6FD7556325}" name="1.03" dataDxfId="5"/>
    <tableColumn id="3" xr3:uid="{2CE7C083-90BB-42D1-BEAC-EF928A3E072D}" name="Year 1" dataDxfId="4"/>
    <tableColumn id="4" xr3:uid="{F32A1BD7-AAEE-4BE3-91E2-8757FA13463C}" name="Year 2" dataDxfId="3"/>
    <tableColumn id="5" xr3:uid="{C519480C-B594-4955-8989-A61BC255A864}" name="Year 3" dataDxfId="2"/>
    <tableColumn id="6" xr3:uid="{D0C2CC92-7B03-4BDE-B652-238296DF4B3D}" name="Year 4" dataDxfId="1"/>
    <tableColumn id="7" xr3:uid="{0D112F0E-C78E-4FC4-9980-0B564506FF9E}" name="Year 5" dataDxfId="0"/>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69342-B1C0-47C0-99BF-2EE58D99C39F}">
  <dimension ref="A1:G173"/>
  <sheetViews>
    <sheetView tabSelected="1" workbookViewId="0">
      <selection activeCell="E27" sqref="E27"/>
    </sheetView>
  </sheetViews>
  <sheetFormatPr defaultColWidth="30.85546875" defaultRowHeight="12.75" x14ac:dyDescent="0.25"/>
  <cols>
    <col min="1" max="1" width="40.42578125" style="4" customWidth="1"/>
    <col min="2" max="2" width="7.140625" style="49" customWidth="1"/>
    <col min="3" max="3" width="17.28515625" style="4" customWidth="1"/>
    <col min="4" max="4" width="17.42578125" style="4" customWidth="1"/>
    <col min="5" max="5" width="17.28515625" style="4" customWidth="1"/>
    <col min="6" max="6" width="17.42578125" style="4" customWidth="1"/>
    <col min="7" max="7" width="21.42578125" style="4" customWidth="1"/>
    <col min="8" max="16384" width="30.85546875" style="4"/>
  </cols>
  <sheetData>
    <row r="1" spans="1:7" ht="33.75" customHeight="1" x14ac:dyDescent="0.25">
      <c r="A1" s="1" t="s">
        <v>0</v>
      </c>
      <c r="B1" s="2" t="s">
        <v>1</v>
      </c>
      <c r="C1" s="3"/>
      <c r="D1" s="3"/>
      <c r="E1" s="3"/>
      <c r="F1" s="3"/>
      <c r="G1" s="3"/>
    </row>
    <row r="2" spans="1:7" ht="21" customHeight="1" x14ac:dyDescent="0.25">
      <c r="A2" s="5"/>
      <c r="B2" s="6" t="s">
        <v>2</v>
      </c>
      <c r="C2" s="6"/>
      <c r="D2" s="6"/>
      <c r="E2" s="6"/>
      <c r="F2" s="6"/>
      <c r="G2" s="7"/>
    </row>
    <row r="3" spans="1:7" ht="21" customHeight="1" thickBot="1" x14ac:dyDescent="0.3">
      <c r="A3" s="8" t="s">
        <v>3</v>
      </c>
      <c r="B3" s="9"/>
      <c r="C3" s="9"/>
      <c r="D3" s="9"/>
      <c r="E3" s="9"/>
      <c r="F3" s="9"/>
      <c r="G3" s="10"/>
    </row>
    <row r="4" spans="1:7" ht="31.9" customHeight="1" thickTop="1" x14ac:dyDescent="0.2">
      <c r="A4" s="11" t="s">
        <v>4</v>
      </c>
      <c r="B4" s="12" t="s">
        <v>5</v>
      </c>
      <c r="C4" s="13" t="s">
        <v>6</v>
      </c>
      <c r="D4" s="13"/>
      <c r="E4" s="13"/>
      <c r="F4" s="13"/>
      <c r="G4" s="14"/>
    </row>
    <row r="5" spans="1:7" ht="15" customHeight="1" x14ac:dyDescent="0.25">
      <c r="A5" s="15" t="s">
        <v>7</v>
      </c>
      <c r="B5" s="16" t="s">
        <v>8</v>
      </c>
      <c r="C5" s="17" t="s">
        <v>9</v>
      </c>
      <c r="D5" s="17" t="s">
        <v>10</v>
      </c>
      <c r="E5" s="17" t="s">
        <v>11</v>
      </c>
      <c r="F5" s="18" t="s">
        <v>12</v>
      </c>
      <c r="G5" s="19" t="s">
        <v>13</v>
      </c>
    </row>
    <row r="6" spans="1:7" ht="15" customHeight="1" x14ac:dyDescent="0.25">
      <c r="A6" s="20" t="s">
        <v>14</v>
      </c>
      <c r="B6" s="21"/>
      <c r="C6" s="22">
        <v>3276000</v>
      </c>
      <c r="D6" s="23">
        <v>4095000</v>
      </c>
      <c r="E6" s="23">
        <f>D6*$B$5</f>
        <v>4176900</v>
      </c>
      <c r="F6" s="23">
        <f>E6*$B$5</f>
        <v>4260438</v>
      </c>
      <c r="G6" s="23">
        <f>F6*$B$5</f>
        <v>4345646.76</v>
      </c>
    </row>
    <row r="7" spans="1:7" ht="15" customHeight="1" x14ac:dyDescent="0.25">
      <c r="A7" s="20" t="s">
        <v>15</v>
      </c>
      <c r="B7" s="21"/>
      <c r="C7" s="22"/>
      <c r="D7" s="23">
        <f t="shared" ref="D7:G11" si="0">C7*$B$5</f>
        <v>0</v>
      </c>
      <c r="E7" s="23">
        <f t="shared" si="0"/>
        <v>0</v>
      </c>
      <c r="F7" s="23">
        <f t="shared" si="0"/>
        <v>0</v>
      </c>
      <c r="G7" s="23">
        <f t="shared" si="0"/>
        <v>0</v>
      </c>
    </row>
    <row r="8" spans="1:7" ht="15" customHeight="1" x14ac:dyDescent="0.25">
      <c r="A8" s="20" t="s">
        <v>16</v>
      </c>
      <c r="B8" s="21"/>
      <c r="C8" s="22"/>
      <c r="D8" s="23">
        <f t="shared" si="0"/>
        <v>0</v>
      </c>
      <c r="E8" s="23">
        <f t="shared" si="0"/>
        <v>0</v>
      </c>
      <c r="F8" s="23">
        <f t="shared" si="0"/>
        <v>0</v>
      </c>
      <c r="G8" s="23">
        <f t="shared" si="0"/>
        <v>0</v>
      </c>
    </row>
    <row r="9" spans="1:7" ht="15" customHeight="1" x14ac:dyDescent="0.25">
      <c r="A9" s="20" t="s">
        <v>17</v>
      </c>
      <c r="B9" s="21"/>
      <c r="C9" s="22"/>
      <c r="D9" s="23">
        <f t="shared" si="0"/>
        <v>0</v>
      </c>
      <c r="E9" s="23">
        <f t="shared" si="0"/>
        <v>0</v>
      </c>
      <c r="F9" s="23">
        <f t="shared" si="0"/>
        <v>0</v>
      </c>
      <c r="G9" s="23">
        <f t="shared" si="0"/>
        <v>0</v>
      </c>
    </row>
    <row r="10" spans="1:7" ht="15" customHeight="1" x14ac:dyDescent="0.25">
      <c r="A10" s="20" t="s">
        <v>18</v>
      </c>
      <c r="B10" s="21"/>
      <c r="C10" s="22"/>
      <c r="D10" s="23">
        <f t="shared" si="0"/>
        <v>0</v>
      </c>
      <c r="E10" s="23">
        <f t="shared" si="0"/>
        <v>0</v>
      </c>
      <c r="F10" s="23">
        <f t="shared" si="0"/>
        <v>0</v>
      </c>
      <c r="G10" s="23">
        <f t="shared" si="0"/>
        <v>0</v>
      </c>
    </row>
    <row r="11" spans="1:7" ht="15" customHeight="1" thickBot="1" x14ac:dyDescent="0.3">
      <c r="A11" s="24" t="s">
        <v>19</v>
      </c>
      <c r="B11" s="21"/>
      <c r="C11" s="25"/>
      <c r="D11" s="26">
        <f t="shared" si="0"/>
        <v>0</v>
      </c>
      <c r="E11" s="26">
        <f t="shared" si="0"/>
        <v>0</v>
      </c>
      <c r="F11" s="26">
        <f t="shared" si="0"/>
        <v>0</v>
      </c>
      <c r="G11" s="26">
        <f t="shared" si="0"/>
        <v>0</v>
      </c>
    </row>
    <row r="12" spans="1:7" ht="15" customHeight="1" x14ac:dyDescent="0.25">
      <c r="A12" s="27" t="s">
        <v>20</v>
      </c>
      <c r="B12" s="27"/>
      <c r="C12" s="27">
        <f>SUM(C6:C11)</f>
        <v>3276000</v>
      </c>
      <c r="D12" s="28">
        <f>SUM(D6:D11)</f>
        <v>4095000</v>
      </c>
      <c r="E12" s="28">
        <f>SUM(E6:E11)</f>
        <v>4176900</v>
      </c>
      <c r="F12" s="28">
        <f>SUM(F6:F11)</f>
        <v>4260438</v>
      </c>
      <c r="G12" s="28">
        <f>SUM(G6:G11)</f>
        <v>4345646.76</v>
      </c>
    </row>
    <row r="13" spans="1:7" ht="15" customHeight="1" x14ac:dyDescent="0.25">
      <c r="A13" s="29" t="s">
        <v>21</v>
      </c>
      <c r="B13" s="16" t="s">
        <v>22</v>
      </c>
      <c r="C13" s="30" t="s">
        <v>9</v>
      </c>
      <c r="D13" s="31" t="s">
        <v>10</v>
      </c>
      <c r="E13" s="31" t="s">
        <v>11</v>
      </c>
      <c r="F13" s="18" t="s">
        <v>12</v>
      </c>
      <c r="G13" s="19" t="s">
        <v>23</v>
      </c>
    </row>
    <row r="14" spans="1:7" ht="15" customHeight="1" x14ac:dyDescent="0.25">
      <c r="A14" s="32" t="s">
        <v>24</v>
      </c>
      <c r="B14" s="21"/>
      <c r="C14" s="22">
        <v>517504</v>
      </c>
      <c r="D14" s="22">
        <v>646880</v>
      </c>
      <c r="E14" s="23">
        <f>D14*$B$13</f>
        <v>666286.4</v>
      </c>
      <c r="F14" s="23">
        <f>E14*$B$13</f>
        <v>686274.99200000009</v>
      </c>
      <c r="G14" s="33">
        <f>F14*$B$13</f>
        <v>706863.24176000012</v>
      </c>
    </row>
    <row r="15" spans="1:7" ht="15" customHeight="1" x14ac:dyDescent="0.25">
      <c r="A15" s="34" t="s">
        <v>25</v>
      </c>
      <c r="B15" s="21"/>
      <c r="C15" s="22">
        <v>67275.520000000004</v>
      </c>
      <c r="D15" s="22">
        <v>84094.400000000009</v>
      </c>
      <c r="E15" s="23">
        <f t="shared" ref="E15:G32" si="1">D15*$B$13</f>
        <v>86617.232000000018</v>
      </c>
      <c r="F15" s="23">
        <f t="shared" si="1"/>
        <v>89215.748960000026</v>
      </c>
      <c r="G15" s="33">
        <f t="shared" si="1"/>
        <v>91892.221428800025</v>
      </c>
    </row>
    <row r="16" spans="1:7" ht="15" customHeight="1" x14ac:dyDescent="0.25">
      <c r="A16" s="34" t="s">
        <v>26</v>
      </c>
      <c r="B16" s="35"/>
      <c r="C16" s="22">
        <v>75814.335999999996</v>
      </c>
      <c r="D16" s="22">
        <v>94767.92</v>
      </c>
      <c r="E16" s="23">
        <f t="shared" si="1"/>
        <v>97610.957599999994</v>
      </c>
      <c r="F16" s="23">
        <f t="shared" si="1"/>
        <v>100539.286328</v>
      </c>
      <c r="G16" s="33">
        <f t="shared" si="1"/>
        <v>103555.46491784</v>
      </c>
    </row>
    <row r="17" spans="1:7" ht="15" customHeight="1" x14ac:dyDescent="0.25">
      <c r="A17" s="34" t="s">
        <v>27</v>
      </c>
      <c r="B17" s="35"/>
      <c r="C17" s="22">
        <v>124800</v>
      </c>
      <c r="D17" s="22">
        <v>156000</v>
      </c>
      <c r="E17" s="23">
        <f t="shared" si="1"/>
        <v>160680</v>
      </c>
      <c r="F17" s="23">
        <f t="shared" si="1"/>
        <v>165500.4</v>
      </c>
      <c r="G17" s="33">
        <f t="shared" si="1"/>
        <v>170465.41200000001</v>
      </c>
    </row>
    <row r="18" spans="1:7" ht="15" customHeight="1" x14ac:dyDescent="0.25">
      <c r="A18" s="34" t="s">
        <v>28</v>
      </c>
      <c r="B18" s="35"/>
      <c r="C18" s="22"/>
      <c r="D18" s="22"/>
      <c r="E18" s="23">
        <f t="shared" si="1"/>
        <v>0</v>
      </c>
      <c r="F18" s="23">
        <f t="shared" si="1"/>
        <v>0</v>
      </c>
      <c r="G18" s="33">
        <f t="shared" si="1"/>
        <v>0</v>
      </c>
    </row>
    <row r="19" spans="1:7" ht="15" customHeight="1" x14ac:dyDescent="0.25">
      <c r="A19" s="32" t="s">
        <v>29</v>
      </c>
      <c r="B19" s="21"/>
      <c r="C19" s="22">
        <v>96000</v>
      </c>
      <c r="D19" s="22">
        <v>120000</v>
      </c>
      <c r="E19" s="23">
        <f t="shared" si="1"/>
        <v>123600</v>
      </c>
      <c r="F19" s="23">
        <f t="shared" si="1"/>
        <v>127308</v>
      </c>
      <c r="G19" s="33">
        <f t="shared" si="1"/>
        <v>131127.24</v>
      </c>
    </row>
    <row r="20" spans="1:7" ht="15" customHeight="1" x14ac:dyDescent="0.25">
      <c r="A20" s="34" t="s">
        <v>30</v>
      </c>
      <c r="B20" s="21"/>
      <c r="C20" s="22">
        <v>19200</v>
      </c>
      <c r="D20" s="22">
        <v>24000</v>
      </c>
      <c r="E20" s="23">
        <f t="shared" si="1"/>
        <v>24720</v>
      </c>
      <c r="F20" s="23">
        <f t="shared" si="1"/>
        <v>25461.600000000002</v>
      </c>
      <c r="G20" s="33">
        <f t="shared" si="1"/>
        <v>26225.448000000004</v>
      </c>
    </row>
    <row r="21" spans="1:7" ht="15" customHeight="1" x14ac:dyDescent="0.25">
      <c r="A21" s="34" t="s">
        <v>31</v>
      </c>
      <c r="B21" s="21"/>
      <c r="C21" s="22">
        <v>48000</v>
      </c>
      <c r="D21" s="22">
        <v>60000</v>
      </c>
      <c r="E21" s="23">
        <f t="shared" si="1"/>
        <v>61800</v>
      </c>
      <c r="F21" s="23">
        <f t="shared" si="1"/>
        <v>63654</v>
      </c>
      <c r="G21" s="33">
        <f t="shared" si="1"/>
        <v>65563.62</v>
      </c>
    </row>
    <row r="22" spans="1:7" ht="15" customHeight="1" x14ac:dyDescent="0.25">
      <c r="A22" s="34" t="s">
        <v>32</v>
      </c>
      <c r="B22" s="21"/>
      <c r="C22" s="22">
        <v>8640</v>
      </c>
      <c r="D22" s="22">
        <v>10800</v>
      </c>
      <c r="E22" s="23">
        <f t="shared" si="1"/>
        <v>11124</v>
      </c>
      <c r="F22" s="23">
        <f t="shared" si="1"/>
        <v>11457.720000000001</v>
      </c>
      <c r="G22" s="33">
        <f t="shared" si="1"/>
        <v>11801.451600000002</v>
      </c>
    </row>
    <row r="23" spans="1:7" ht="15" customHeight="1" x14ac:dyDescent="0.25">
      <c r="A23" s="34" t="s">
        <v>33</v>
      </c>
      <c r="B23" s="21"/>
      <c r="C23" s="22">
        <v>960</v>
      </c>
      <c r="D23" s="22">
        <v>1200</v>
      </c>
      <c r="E23" s="23">
        <f t="shared" si="1"/>
        <v>1236</v>
      </c>
      <c r="F23" s="23">
        <f t="shared" si="1"/>
        <v>1273.08</v>
      </c>
      <c r="G23" s="33">
        <f t="shared" si="1"/>
        <v>1311.2724000000001</v>
      </c>
    </row>
    <row r="24" spans="1:7" ht="15" customHeight="1" x14ac:dyDescent="0.25">
      <c r="A24" s="34" t="s">
        <v>34</v>
      </c>
      <c r="B24" s="21"/>
      <c r="C24" s="22">
        <v>18769.920000000002</v>
      </c>
      <c r="D24" s="22">
        <v>23462.400000000001</v>
      </c>
      <c r="E24" s="23">
        <f t="shared" si="1"/>
        <v>24166.272000000001</v>
      </c>
      <c r="F24" s="23">
        <f t="shared" si="1"/>
        <v>24891.260160000002</v>
      </c>
      <c r="G24" s="33">
        <f t="shared" si="1"/>
        <v>25637.997964800001</v>
      </c>
    </row>
    <row r="25" spans="1:7" ht="15" customHeight="1" x14ac:dyDescent="0.25">
      <c r="A25" s="34" t="s">
        <v>35</v>
      </c>
      <c r="B25" s="21"/>
      <c r="C25" s="22">
        <v>9600</v>
      </c>
      <c r="D25" s="22">
        <v>12000</v>
      </c>
      <c r="E25" s="23">
        <f t="shared" si="1"/>
        <v>12360</v>
      </c>
      <c r="F25" s="23">
        <f t="shared" si="1"/>
        <v>12730.800000000001</v>
      </c>
      <c r="G25" s="33">
        <f t="shared" si="1"/>
        <v>13112.724000000002</v>
      </c>
    </row>
    <row r="26" spans="1:7" ht="15" customHeight="1" x14ac:dyDescent="0.25">
      <c r="A26" s="34" t="s">
        <v>36</v>
      </c>
      <c r="B26" s="21"/>
      <c r="C26" s="22">
        <v>960</v>
      </c>
      <c r="D26" s="22">
        <v>1200</v>
      </c>
      <c r="E26" s="23">
        <f t="shared" si="1"/>
        <v>1236</v>
      </c>
      <c r="F26" s="23">
        <f t="shared" si="1"/>
        <v>1273.08</v>
      </c>
      <c r="G26" s="33">
        <f t="shared" si="1"/>
        <v>1311.2724000000001</v>
      </c>
    </row>
    <row r="27" spans="1:7" ht="15" customHeight="1" x14ac:dyDescent="0.25">
      <c r="A27" s="34" t="s">
        <v>37</v>
      </c>
      <c r="B27" s="21"/>
      <c r="C27" s="22">
        <v>1920</v>
      </c>
      <c r="D27" s="22">
        <v>2400</v>
      </c>
      <c r="E27" s="23">
        <f t="shared" si="1"/>
        <v>2472</v>
      </c>
      <c r="F27" s="23">
        <f t="shared" si="1"/>
        <v>2546.16</v>
      </c>
      <c r="G27" s="33">
        <f t="shared" si="1"/>
        <v>2622.5448000000001</v>
      </c>
    </row>
    <row r="28" spans="1:7" ht="15" customHeight="1" x14ac:dyDescent="0.25">
      <c r="A28" s="34" t="s">
        <v>38</v>
      </c>
      <c r="B28" s="36"/>
      <c r="C28" s="22">
        <v>19200</v>
      </c>
      <c r="D28" s="22">
        <v>24000</v>
      </c>
      <c r="E28" s="23">
        <f t="shared" si="1"/>
        <v>24720</v>
      </c>
      <c r="F28" s="23">
        <f t="shared" si="1"/>
        <v>25461.600000000002</v>
      </c>
      <c r="G28" s="33">
        <f t="shared" si="1"/>
        <v>26225.448000000004</v>
      </c>
    </row>
    <row r="29" spans="1:7" ht="15" customHeight="1" x14ac:dyDescent="0.25">
      <c r="A29" s="34" t="s">
        <v>39</v>
      </c>
      <c r="B29" s="36"/>
      <c r="C29" s="22">
        <v>9600</v>
      </c>
      <c r="D29" s="22">
        <v>12000</v>
      </c>
      <c r="E29" s="23">
        <f t="shared" si="1"/>
        <v>12360</v>
      </c>
      <c r="F29" s="23">
        <f t="shared" si="1"/>
        <v>12730.800000000001</v>
      </c>
      <c r="G29" s="33">
        <f t="shared" si="1"/>
        <v>13112.724000000002</v>
      </c>
    </row>
    <row r="30" spans="1:7" ht="15" customHeight="1" x14ac:dyDescent="0.25">
      <c r="A30" s="34" t="s">
        <v>40</v>
      </c>
      <c r="B30" s="21"/>
      <c r="C30" s="22">
        <v>25431.360000000001</v>
      </c>
      <c r="D30" s="22">
        <v>31789.199999999997</v>
      </c>
      <c r="E30" s="23">
        <f t="shared" si="1"/>
        <v>32742.875999999997</v>
      </c>
      <c r="F30" s="23">
        <f t="shared" si="1"/>
        <v>33725.162279999997</v>
      </c>
      <c r="G30" s="33">
        <f t="shared" si="1"/>
        <v>34736.917148399996</v>
      </c>
    </row>
    <row r="31" spans="1:7" ht="15" customHeight="1" x14ac:dyDescent="0.25">
      <c r="A31" s="37" t="s">
        <v>41</v>
      </c>
      <c r="B31" s="21"/>
      <c r="C31" s="22">
        <v>163800</v>
      </c>
      <c r="D31" s="22">
        <v>204750</v>
      </c>
      <c r="E31" s="23">
        <f t="shared" si="1"/>
        <v>210892.5</v>
      </c>
      <c r="F31" s="23">
        <f t="shared" si="1"/>
        <v>217219.27499999999</v>
      </c>
      <c r="G31" s="33">
        <f t="shared" si="1"/>
        <v>223735.85324999999</v>
      </c>
    </row>
    <row r="32" spans="1:7" ht="15" customHeight="1" thickBot="1" x14ac:dyDescent="0.3">
      <c r="A32" s="37" t="s">
        <v>42</v>
      </c>
      <c r="B32" s="21"/>
      <c r="C32" s="22">
        <v>52000</v>
      </c>
      <c r="D32" s="22">
        <v>65000</v>
      </c>
      <c r="E32" s="26">
        <f t="shared" si="1"/>
        <v>66950</v>
      </c>
      <c r="F32" s="26">
        <f t="shared" si="1"/>
        <v>68958.5</v>
      </c>
      <c r="G32" s="38">
        <f t="shared" si="1"/>
        <v>71027.255000000005</v>
      </c>
    </row>
    <row r="33" spans="1:7" s="41" customFormat="1" ht="15" customHeight="1" thickTop="1" thickBot="1" x14ac:dyDescent="0.3">
      <c r="A33" s="39" t="s">
        <v>43</v>
      </c>
      <c r="B33" s="39"/>
      <c r="C33" s="40">
        <f>SUM(C14:C32)</f>
        <v>1259475.1359999999</v>
      </c>
      <c r="D33" s="40">
        <f>SUM(D14:D32)</f>
        <v>1574343.92</v>
      </c>
      <c r="E33" s="40">
        <f>SUM(E14:E32)</f>
        <v>1621574.2376000001</v>
      </c>
      <c r="F33" s="40">
        <f>SUM(F14:F32)</f>
        <v>1670221.4647280003</v>
      </c>
      <c r="G33" s="40">
        <f>SUM(G14:G32)</f>
        <v>1720328.1086698403</v>
      </c>
    </row>
    <row r="34" spans="1:7" s="41" customFormat="1" ht="20.25" customHeight="1" x14ac:dyDescent="0.25">
      <c r="A34" s="42" t="s">
        <v>44</v>
      </c>
      <c r="B34" s="43"/>
      <c r="C34" s="44">
        <f>(C12-C33)</f>
        <v>2016524.8640000001</v>
      </c>
      <c r="D34" s="26">
        <f>(D12-D33)</f>
        <v>2520656.08</v>
      </c>
      <c r="E34" s="26">
        <f>(E12-E33)</f>
        <v>2555325.7623999999</v>
      </c>
      <c r="F34" s="26">
        <f>(F12-F33)</f>
        <v>2590216.5352719994</v>
      </c>
      <c r="G34" s="38">
        <f>(G12-G33)</f>
        <v>2625318.6513301595</v>
      </c>
    </row>
    <row r="35" spans="1:7" ht="15" customHeight="1" x14ac:dyDescent="0.25">
      <c r="A35" s="45"/>
      <c r="B35" s="46"/>
      <c r="C35" s="47"/>
      <c r="D35" s="48"/>
      <c r="E35" s="45"/>
    </row>
    <row r="36" spans="1:7" ht="15" customHeight="1" x14ac:dyDescent="0.25">
      <c r="A36" s="4" t="s">
        <v>45</v>
      </c>
    </row>
    <row r="37" spans="1:7" ht="15" customHeight="1" x14ac:dyDescent="0.25">
      <c r="A37" s="50"/>
    </row>
    <row r="39" spans="1:7" ht="15" customHeight="1" x14ac:dyDescent="0.25">
      <c r="A39" s="50"/>
    </row>
    <row r="41" spans="1:7" ht="15" customHeight="1" x14ac:dyDescent="0.25">
      <c r="A41" s="50"/>
    </row>
    <row r="43" spans="1:7" ht="15" customHeight="1" x14ac:dyDescent="0.25">
      <c r="A43" s="50"/>
    </row>
    <row r="44" spans="1:7" ht="15" customHeight="1" x14ac:dyDescent="0.25">
      <c r="A44" s="50"/>
    </row>
    <row r="46" spans="1:7" ht="15" customHeight="1" x14ac:dyDescent="0.25">
      <c r="A46" s="50"/>
    </row>
    <row r="47" spans="1:7" ht="15" customHeight="1" x14ac:dyDescent="0.25">
      <c r="A47" s="50"/>
    </row>
    <row r="49" spans="1:1" s="49" customFormat="1" ht="15" customHeight="1" x14ac:dyDescent="0.25">
      <c r="A49" s="50"/>
    </row>
    <row r="50" spans="1:1" s="49" customFormat="1" ht="15" customHeight="1" x14ac:dyDescent="0.25">
      <c r="A50" s="50"/>
    </row>
    <row r="51" spans="1:1" s="49" customFormat="1" ht="15" customHeight="1" x14ac:dyDescent="0.25">
      <c r="A51" s="50"/>
    </row>
    <row r="52" spans="1:1" s="49" customFormat="1" ht="15" customHeight="1" x14ac:dyDescent="0.25">
      <c r="A52" s="50"/>
    </row>
    <row r="167" spans="1:1" s="49" customFormat="1" ht="15" customHeight="1" x14ac:dyDescent="0.25">
      <c r="A167" s="50"/>
    </row>
    <row r="168" spans="1:1" s="49" customFormat="1" ht="15" customHeight="1" x14ac:dyDescent="0.25">
      <c r="A168" s="50"/>
    </row>
    <row r="171" spans="1:1" s="49" customFormat="1" ht="15" customHeight="1" x14ac:dyDescent="0.25">
      <c r="A171" s="50"/>
    </row>
    <row r="172" spans="1:1" s="49" customFormat="1" ht="15" customHeight="1" x14ac:dyDescent="0.25">
      <c r="A172" s="50"/>
    </row>
    <row r="173" spans="1:1" s="49" customFormat="1" ht="15" customHeight="1" x14ac:dyDescent="0.25">
      <c r="A173" s="50"/>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Good Samaritan Hospital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Gerrie Halbrook</dc:creator>
  <cp:lastModifiedBy>Gerrie Halbrook</cp:lastModifiedBy>
  <dcterms:created xsi:type="dcterms:W3CDTF">2024-12-09T02:04:04Z</dcterms:created>
  <dcterms:modified xsi:type="dcterms:W3CDTF">2024-12-09T02:05:04Z</dcterms:modified>
</cp:coreProperties>
</file>